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ni\Downloads\"/>
    </mc:Choice>
  </mc:AlternateContent>
  <xr:revisionPtr revIDLastSave="0" documentId="11_D0D6F77198905A5BB95117A33389296AF74E62AF" xr6:coauthVersionLast="47" xr6:coauthVersionMax="47" xr10:uidLastSave="{00000000-0000-0000-0000-000000000000}"/>
  <bookViews>
    <workbookView xWindow="5700" yWindow="3744" windowWidth="17280" windowHeight="9420" tabRatio="500" activeTab="1" xr2:uid="{00000000-000D-0000-FFFF-FFFF00000000}"/>
  </bookViews>
  <sheets>
    <sheet name="Descuentos" sheetId="1" r:id="rId1"/>
    <sheet name="Casos de prueb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2" l="1"/>
  <c r="E15" i="2" s="1"/>
  <c r="F15" i="2" s="1"/>
  <c r="E14" i="2"/>
  <c r="F14" i="2" s="1"/>
  <c r="D14" i="2"/>
  <c r="D13" i="2"/>
  <c r="E13" i="2" s="1"/>
  <c r="F13" i="2" s="1"/>
  <c r="D12" i="2"/>
  <c r="E12" i="2" s="1"/>
  <c r="F12" i="2" s="1"/>
  <c r="F11" i="2"/>
  <c r="E11" i="2"/>
  <c r="D11" i="2"/>
  <c r="D10" i="2"/>
  <c r="E10" i="2" s="1"/>
  <c r="F10" i="2" s="1"/>
  <c r="D9" i="2"/>
  <c r="E9" i="2" s="1"/>
  <c r="F9" i="2" s="1"/>
  <c r="E8" i="2"/>
  <c r="F8" i="2" s="1"/>
  <c r="D8" i="2"/>
  <c r="D7" i="2"/>
  <c r="E7" i="2" s="1"/>
  <c r="F7" i="2" s="1"/>
  <c r="E6" i="2"/>
  <c r="F6" i="2" s="1"/>
  <c r="D6" i="2"/>
  <c r="D5" i="2"/>
  <c r="E5" i="2" s="1"/>
  <c r="F5" i="2" s="1"/>
  <c r="C7" i="1"/>
  <c r="C8" i="1" s="1"/>
  <c r="C9" i="1" s="1"/>
</calcChain>
</file>

<file path=xl/sharedStrings.xml><?xml version="1.0" encoding="utf-8"?>
<sst xmlns="http://schemas.openxmlformats.org/spreadsheetml/2006/main" count="21" uniqueCount="19">
  <si>
    <t>Calculadora de Descuentos - Descuentos_IanNieto</t>
  </si>
  <si>
    <t>Ingrese el valor de venta en la celda amarilla (C6).</t>
  </si>
  <si>
    <t>Reglas de descuento</t>
  </si>
  <si>
    <t>Valor de venta</t>
  </si>
  <si>
    <t>Venta desde</t>
  </si>
  <si>
    <t>Venta hasta</t>
  </si>
  <si>
    <t>Descuento</t>
  </si>
  <si>
    <t>Porcentaje de descuento</t>
  </si>
  <si>
    <t>y más</t>
  </si>
  <si>
    <t>Valor final</t>
  </si>
  <si>
    <t>Leyenda:</t>
  </si>
  <si>
    <t>Amarillo = celda para editar (valor de venta)</t>
  </si>
  <si>
    <t>Azul = valores fijos (reglas de descuento)</t>
  </si>
  <si>
    <t>Negro = formulas (no editar)</t>
  </si>
  <si>
    <t>Casos de prueba - logica de descuento</t>
  </si>
  <si>
    <t>% esperado</t>
  </si>
  <si>
    <t>% calculado</t>
  </si>
  <si>
    <t>Descuento calculado</t>
  </si>
  <si>
    <t>Valor final 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</si>
</sst>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/>
    <xf numFmtId="0" fontId="2" fillId="0" borderId="0" xfId="0" applyFont="1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164" fontId="5" fillId="3" borderId="1" xfId="0" applyNumberFormat="1" applyFont="1" applyFill="1" applyBorder="1"/>
    <xf numFmtId="0" fontId="4" fillId="0" borderId="1" xfId="0" applyFont="1" applyBorder="1" applyAlignment="1">
      <alignment horizontal="center"/>
    </xf>
    <xf numFmtId="9" fontId="6" fillId="0" borderId="1" xfId="0" applyNumberFormat="1" applyFont="1" applyBorder="1"/>
    <xf numFmtId="0" fontId="5" fillId="0" borderId="1" xfId="0" applyFont="1" applyBorder="1"/>
    <xf numFmtId="9" fontId="5" fillId="0" borderId="1" xfId="0" applyNumberFormat="1" applyFont="1" applyBorder="1"/>
    <xf numFmtId="164" fontId="6" fillId="0" borderId="1" xfId="0" applyNumberFormat="1" applyFont="1" applyBorder="1"/>
    <xf numFmtId="0" fontId="7" fillId="0" borderId="0" xfId="0" applyFont="1"/>
    <xf numFmtId="0" fontId="3" fillId="2" borderId="1" xfId="0" applyFont="1" applyFill="1" applyBorder="1" applyAlignment="1">
      <alignment horizontal="center" wrapText="1"/>
    </xf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4"/>
  <sheetViews>
    <sheetView zoomScaleNormal="100" workbookViewId="0">
      <selection activeCell="B2" sqref="B2:E2"/>
    </sheetView>
  </sheetViews>
  <sheetFormatPr defaultColWidth="8.6640625" defaultRowHeight="14.4" x14ac:dyDescent="0.3"/>
  <cols>
    <col min="2" max="2" width="24" customWidth="1"/>
    <col min="3" max="3" width="16" customWidth="1"/>
    <col min="7" max="9" width="12" customWidth="1"/>
  </cols>
  <sheetData>
    <row r="2" spans="2:9" ht="17.399999999999999" x14ac:dyDescent="0.3">
      <c r="B2" s="3" t="s">
        <v>0</v>
      </c>
      <c r="C2" s="3"/>
      <c r="D2" s="3"/>
      <c r="E2" s="3"/>
    </row>
    <row r="3" spans="2:9" x14ac:dyDescent="0.3">
      <c r="B3" s="2" t="s">
        <v>1</v>
      </c>
      <c r="C3" s="2"/>
      <c r="D3" s="2"/>
      <c r="E3" s="2"/>
    </row>
    <row r="5" spans="2:9" x14ac:dyDescent="0.3">
      <c r="G5" s="1" t="s">
        <v>2</v>
      </c>
      <c r="H5" s="1"/>
      <c r="I5" s="1"/>
    </row>
    <row r="6" spans="2:9" x14ac:dyDescent="0.3">
      <c r="B6" s="5" t="s">
        <v>3</v>
      </c>
      <c r="C6" s="6">
        <v>350</v>
      </c>
      <c r="G6" s="7" t="s">
        <v>4</v>
      </c>
      <c r="H6" s="7" t="s">
        <v>5</v>
      </c>
      <c r="I6" s="7" t="s">
        <v>6</v>
      </c>
    </row>
    <row r="7" spans="2:9" x14ac:dyDescent="0.3">
      <c r="B7" s="5" t="s">
        <v>7</v>
      </c>
      <c r="C7" s="8">
        <f>IF(C6&gt;=G7,I7,IF(C6&gt;=G8,I8,IF(C6&gt;=G9,I9,I10)))</f>
        <v>0.2</v>
      </c>
      <c r="G7" s="9">
        <v>500</v>
      </c>
      <c r="H7" s="9" t="s">
        <v>8</v>
      </c>
      <c r="I7" s="10">
        <v>0.3</v>
      </c>
    </row>
    <row r="8" spans="2:9" x14ac:dyDescent="0.3">
      <c r="B8" s="5" t="s">
        <v>6</v>
      </c>
      <c r="C8" s="11">
        <f>C6*C7</f>
        <v>70</v>
      </c>
      <c r="G8" s="9">
        <v>300</v>
      </c>
      <c r="H8" s="9">
        <v>499.99</v>
      </c>
      <c r="I8" s="10">
        <v>0.2</v>
      </c>
    </row>
    <row r="9" spans="2:9" x14ac:dyDescent="0.3">
      <c r="B9" s="5" t="s">
        <v>9</v>
      </c>
      <c r="C9" s="11">
        <f>C6-C8</f>
        <v>280</v>
      </c>
      <c r="G9" s="9">
        <v>100</v>
      </c>
      <c r="H9" s="9">
        <v>299.99</v>
      </c>
      <c r="I9" s="10">
        <v>0.1</v>
      </c>
    </row>
    <row r="10" spans="2:9" x14ac:dyDescent="0.3">
      <c r="G10" s="9">
        <v>0</v>
      </c>
      <c r="H10" s="9">
        <v>99.99</v>
      </c>
      <c r="I10" s="10">
        <v>0</v>
      </c>
    </row>
    <row r="11" spans="2:9" x14ac:dyDescent="0.3">
      <c r="B11" s="12" t="s">
        <v>10</v>
      </c>
    </row>
    <row r="12" spans="2:9" x14ac:dyDescent="0.3">
      <c r="B12" s="4" t="s">
        <v>11</v>
      </c>
    </row>
    <row r="13" spans="2:9" x14ac:dyDescent="0.3">
      <c r="B13" s="4" t="s">
        <v>12</v>
      </c>
    </row>
    <row r="14" spans="2:9" x14ac:dyDescent="0.3">
      <c r="B14" s="4" t="s">
        <v>13</v>
      </c>
    </row>
  </sheetData>
  <mergeCells count="3">
    <mergeCell ref="B2:E2"/>
    <mergeCell ref="B3:E3"/>
    <mergeCell ref="G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5"/>
  <sheetViews>
    <sheetView tabSelected="1" topLeftCell="A3" zoomScaleNormal="100" workbookViewId="0"/>
  </sheetViews>
  <sheetFormatPr defaultColWidth="8.6640625" defaultRowHeight="14.4" x14ac:dyDescent="0.3"/>
  <cols>
    <col min="2" max="2" width="16" customWidth="1"/>
    <col min="3" max="3" width="14" customWidth="1"/>
    <col min="4" max="4" width="16" customWidth="1"/>
    <col min="5" max="6" width="20" customWidth="1"/>
  </cols>
  <sheetData>
    <row r="2" spans="2:6" ht="17.399999999999999" x14ac:dyDescent="0.3">
      <c r="B2" s="3" t="s">
        <v>14</v>
      </c>
      <c r="C2" s="3"/>
      <c r="D2" s="3"/>
      <c r="E2" s="3"/>
      <c r="F2" s="3"/>
    </row>
    <row r="4" spans="2:6" ht="28.2" x14ac:dyDescent="0.3">
      <c r="B4" s="13" t="s">
        <v>3</v>
      </c>
      <c r="C4" s="13" t="s">
        <v>15</v>
      </c>
      <c r="D4" s="13" t="s">
        <v>16</v>
      </c>
      <c r="E4" s="13" t="s">
        <v>17</v>
      </c>
      <c r="F4" s="13" t="s">
        <v>18</v>
      </c>
    </row>
    <row r="5" spans="2:6" x14ac:dyDescent="0.3">
      <c r="B5" s="14">
        <v>0</v>
      </c>
      <c r="C5" s="10">
        <v>0</v>
      </c>
      <c r="D5" s="8">
        <f>IF(B5&gt;=Descuentos!$G$7,Descuentos!$I$7,IF(B5&gt;=Descuentos!$G$8,Descuentos!$I$8,IF(B5&gt;=Descuentos!$G$9,Descuentos!$I$9,Descuentos!$I$10)))</f>
        <v>0</v>
      </c>
      <c r="E5" s="11">
        <f t="shared" ref="E5:E15" si="0">B5*D5</f>
        <v>0</v>
      </c>
      <c r="F5" s="11">
        <f t="shared" ref="F5:F15" si="1">B5-E5</f>
        <v>0</v>
      </c>
    </row>
    <row r="6" spans="2:6" x14ac:dyDescent="0.3">
      <c r="B6" s="14">
        <v>50</v>
      </c>
      <c r="C6" s="10">
        <v>0</v>
      </c>
      <c r="D6" s="8">
        <f>IF(B6&gt;=Descuentos!$G$7,Descuentos!$I$7,IF(B6&gt;=Descuentos!$G$8,Descuentos!$I$8,IF(B6&gt;=Descuentos!$G$9,Descuentos!$I$9,Descuentos!$I$10)))</f>
        <v>0</v>
      </c>
      <c r="E6" s="11">
        <f t="shared" si="0"/>
        <v>0</v>
      </c>
      <c r="F6" s="11">
        <f t="shared" si="1"/>
        <v>50</v>
      </c>
    </row>
    <row r="7" spans="2:6" x14ac:dyDescent="0.3">
      <c r="B7" s="14">
        <v>99.99</v>
      </c>
      <c r="C7" s="10">
        <v>0</v>
      </c>
      <c r="D7" s="8">
        <f>IF(B7&gt;=Descuentos!$G$7,Descuentos!$I$7,IF(B7&gt;=Descuentos!$G$8,Descuentos!$I$8,IF(B7&gt;=Descuentos!$G$9,Descuentos!$I$9,Descuentos!$I$10)))</f>
        <v>0</v>
      </c>
      <c r="E7" s="11">
        <f t="shared" si="0"/>
        <v>0</v>
      </c>
      <c r="F7" s="11">
        <f t="shared" si="1"/>
        <v>99.99</v>
      </c>
    </row>
    <row r="8" spans="2:6" x14ac:dyDescent="0.3">
      <c r="B8" s="14">
        <v>100</v>
      </c>
      <c r="C8" s="10">
        <v>0.1</v>
      </c>
      <c r="D8" s="8">
        <f>IF(B8&gt;=Descuentos!$G$7,Descuentos!$I$7,IF(B8&gt;=Descuentos!$G$8,Descuentos!$I$8,IF(B8&gt;=Descuentos!$G$9,Descuentos!$I$9,Descuentos!$I$10)))</f>
        <v>0.1</v>
      </c>
      <c r="E8" s="11">
        <f t="shared" si="0"/>
        <v>10</v>
      </c>
      <c r="F8" s="11">
        <f t="shared" si="1"/>
        <v>90</v>
      </c>
    </row>
    <row r="9" spans="2:6" x14ac:dyDescent="0.3">
      <c r="B9" s="14">
        <v>250</v>
      </c>
      <c r="C9" s="10">
        <v>0.1</v>
      </c>
      <c r="D9" s="8">
        <f>IF(B9&gt;=Descuentos!$G$7,Descuentos!$I$7,IF(B9&gt;=Descuentos!$G$8,Descuentos!$I$8,IF(B9&gt;=Descuentos!$G$9,Descuentos!$I$9,Descuentos!$I$10)))</f>
        <v>0.1</v>
      </c>
      <c r="E9" s="11">
        <f t="shared" si="0"/>
        <v>25</v>
      </c>
      <c r="F9" s="11">
        <f t="shared" si="1"/>
        <v>225</v>
      </c>
    </row>
    <row r="10" spans="2:6" x14ac:dyDescent="0.3">
      <c r="B10" s="14">
        <v>299.99</v>
      </c>
      <c r="C10" s="10">
        <v>0.1</v>
      </c>
      <c r="D10" s="8">
        <f>IF(B10&gt;=Descuentos!$G$7,Descuentos!$I$7,IF(B10&gt;=Descuentos!$G$8,Descuentos!$I$8,IF(B10&gt;=Descuentos!$G$9,Descuentos!$I$9,Descuentos!$I$10)))</f>
        <v>0.1</v>
      </c>
      <c r="E10" s="11">
        <f t="shared" si="0"/>
        <v>29.999000000000002</v>
      </c>
      <c r="F10" s="11">
        <f t="shared" si="1"/>
        <v>269.99099999999999</v>
      </c>
    </row>
    <row r="11" spans="2:6" x14ac:dyDescent="0.3">
      <c r="B11" s="14">
        <v>300</v>
      </c>
      <c r="C11" s="10">
        <v>0.2</v>
      </c>
      <c r="D11" s="8">
        <f>IF(B11&gt;=Descuentos!$G$7,Descuentos!$I$7,IF(B11&gt;=Descuentos!$G$8,Descuentos!$I$8,IF(B11&gt;=Descuentos!$G$9,Descuentos!$I$9,Descuentos!$I$10)))</f>
        <v>0.2</v>
      </c>
      <c r="E11" s="11">
        <f t="shared" si="0"/>
        <v>60</v>
      </c>
      <c r="F11" s="11">
        <f t="shared" si="1"/>
        <v>240</v>
      </c>
    </row>
    <row r="12" spans="2:6" x14ac:dyDescent="0.3">
      <c r="B12" s="14">
        <v>450</v>
      </c>
      <c r="C12" s="10">
        <v>0.2</v>
      </c>
      <c r="D12" s="8">
        <f>IF(B12&gt;=Descuentos!$G$7,Descuentos!$I$7,IF(B12&gt;=Descuentos!$G$8,Descuentos!$I$8,IF(B12&gt;=Descuentos!$G$9,Descuentos!$I$9,Descuentos!$I$10)))</f>
        <v>0.2</v>
      </c>
      <c r="E12" s="11">
        <f t="shared" si="0"/>
        <v>90</v>
      </c>
      <c r="F12" s="11">
        <f t="shared" si="1"/>
        <v>360</v>
      </c>
    </row>
    <row r="13" spans="2:6" x14ac:dyDescent="0.3">
      <c r="B13" s="14">
        <v>499.99</v>
      </c>
      <c r="C13" s="10">
        <v>0.2</v>
      </c>
      <c r="D13" s="8">
        <f>IF(B13&gt;=Descuentos!$G$7,Descuentos!$I$7,IF(B13&gt;=Descuentos!$G$8,Descuentos!$I$8,IF(B13&gt;=Descuentos!$G$9,Descuentos!$I$9,Descuentos!$I$10)))</f>
        <v>0.2</v>
      </c>
      <c r="E13" s="11">
        <f t="shared" si="0"/>
        <v>99.998000000000005</v>
      </c>
      <c r="F13" s="11">
        <f t="shared" si="1"/>
        <v>399.99200000000002</v>
      </c>
    </row>
    <row r="14" spans="2:6" x14ac:dyDescent="0.3">
      <c r="B14" s="14">
        <v>500</v>
      </c>
      <c r="C14" s="10">
        <v>0.3</v>
      </c>
      <c r="D14" s="8">
        <f>IF(B14&gt;=Descuentos!$G$7,Descuentos!$I$7,IF(B14&gt;=Descuentos!$G$8,Descuentos!$I$8,IF(B14&gt;=Descuentos!$G$9,Descuentos!$I$9,Descuentos!$I$10)))</f>
        <v>0.3</v>
      </c>
      <c r="E14" s="11">
        <f t="shared" si="0"/>
        <v>150</v>
      </c>
      <c r="F14" s="11">
        <f t="shared" si="1"/>
        <v>350</v>
      </c>
    </row>
    <row r="15" spans="2:6" x14ac:dyDescent="0.3">
      <c r="B15" s="14">
        <v>1000</v>
      </c>
      <c r="C15" s="10">
        <v>0.3</v>
      </c>
      <c r="D15" s="8">
        <f>IF(B15&gt;=Descuentos!$G$7,Descuentos!$I$7,IF(B15&gt;=Descuentos!$G$8,Descuentos!$I$8,IF(B15&gt;=Descuentos!$G$9,Descuentos!$I$9,Descuentos!$I$10)))</f>
        <v>0.3</v>
      </c>
      <c r="E15" s="11">
        <f t="shared" si="0"/>
        <v>300</v>
      </c>
      <c r="F15" s="11">
        <f t="shared" si="1"/>
        <v>700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Descuentos</vt:lpstr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IAN NIETO</cp:lastModifiedBy>
  <cp:revision>0</cp:revision>
  <dcterms:created xsi:type="dcterms:W3CDTF">2026-08-24T16:32:20Z</dcterms:created>
  <dcterms:modified xsi:type="dcterms:W3CDTF">2026-08-24T16:46:07Z</dcterms:modified>
  <dc:language>en-US</dc:language>
</cp:coreProperties>
</file>